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ine Ablage\Python\curvesim\results\"/>
    </mc:Choice>
  </mc:AlternateContent>
  <xr:revisionPtr revIDLastSave="0" documentId="13_ncr:1_{94866D9B-C282-4290-ADA0-E12D136ABE81}" xr6:coauthVersionLast="47" xr6:coauthVersionMax="47" xr10:uidLastSave="{00000000-0000-0000-0000-000000000000}"/>
  <bookViews>
    <workbookView xWindow="-120" yWindow="-120" windowWidth="29040" windowHeight="15720" tabRatio="1000" xr2:uid="{6919DDE8-15F9-45FB-B5F7-4209377AF865}"/>
  </bookViews>
  <sheets>
    <sheet name="Comparison" sheetId="9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91" l="1"/>
  <c r="D18" i="91"/>
  <c r="D32" i="91"/>
  <c r="E32" i="91"/>
  <c r="F19" i="91"/>
  <c r="F5" i="91"/>
  <c r="F26" i="91"/>
  <c r="F12" i="91"/>
  <c r="F25" i="91"/>
  <c r="F21" i="91"/>
  <c r="F11" i="91"/>
  <c r="F7" i="91"/>
  <c r="D26" i="91"/>
  <c r="D12" i="91"/>
  <c r="D25" i="91"/>
  <c r="D21" i="91"/>
  <c r="E12" i="91"/>
  <c r="D11" i="91"/>
  <c r="D7" i="91"/>
</calcChain>
</file>

<file path=xl/sharedStrings.xml><?xml version="1.0" encoding="utf-8"?>
<sst xmlns="http://schemas.openxmlformats.org/spreadsheetml/2006/main" count="86" uniqueCount="31">
  <si>
    <t>d</t>
  </si>
  <si>
    <t>P</t>
  </si>
  <si>
    <t>Epoch</t>
  </si>
  <si>
    <t>ma</t>
  </si>
  <si>
    <t>i</t>
  </si>
  <si>
    <t>e</t>
  </si>
  <si>
    <t>TOI4504</t>
  </si>
  <si>
    <t>TOI4504d</t>
  </si>
  <si>
    <t>Omega</t>
  </si>
  <si>
    <t>omega</t>
  </si>
  <si>
    <t>TOI4504c</t>
  </si>
  <si>
    <t>mass</t>
  </si>
  <si>
    <t>Uli</t>
  </si>
  <si>
    <t>Body</t>
  </si>
  <si>
    <t>Param</t>
  </si>
  <si>
    <t>Unit</t>
  </si>
  <si>
    <t>Trifon</t>
  </si>
  <si>
    <t>m_sun</t>
  </si>
  <si>
    <t>radius</t>
  </si>
  <si>
    <t>r_sun</t>
  </si>
  <si>
    <t>m_jup</t>
  </si>
  <si>
    <t>r_jup</t>
  </si>
  <si>
    <t>deg</t>
  </si>
  <si>
    <t>sqrt(e)*cos(omega)</t>
  </si>
  <si>
    <t>sqrt(e)*sin(omega)</t>
  </si>
  <si>
    <t>m/m*</t>
  </si>
  <si>
    <t>Almenara
Fig. A.1.</t>
  </si>
  <si>
    <t>h = e*sin(omega)</t>
  </si>
  <si>
    <t>k = e*cos(omega)</t>
  </si>
  <si>
    <t>t_omega</t>
  </si>
  <si>
    <t>m Sun / m Jup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</si>
</sst>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77" formatCode="0.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166" fontId="0" fillId="0" borderId="0" xfId="0" applyNumberFormat="1"/>
    <xf numFmtId="164" fontId="0" fillId="0" borderId="1" xfId="0" applyNumberForma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6" fontId="3" fillId="0" borderId="0" xfId="0" applyNumberFormat="1" applyFont="1"/>
    <xf numFmtId="164" fontId="3" fillId="0" borderId="0" xfId="0" applyNumberFormat="1" applyFont="1"/>
    <xf numFmtId="164" fontId="3" fillId="0" borderId="1" xfId="0" applyNumberFormat="1" applyFont="1" applyBorder="1"/>
    <xf numFmtId="177" fontId="0" fillId="0" borderId="2" xfId="0" applyNumberForma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77" fontId="0" fillId="0" borderId="1" xfId="0" applyNumberFormat="1" applyBorder="1"/>
    <xf numFmtId="0" fontId="0" fillId="0" borderId="3" xfId="0" applyBorder="1" applyAlignment="1">
      <alignment vertical="center" wrapText="1"/>
    </xf>
    <xf numFmtId="0" fontId="0" fillId="0" borderId="0" xfId="0" applyBorder="1"/>
    <xf numFmtId="166" fontId="3" fillId="0" borderId="0" xfId="0" applyNumberFormat="1" applyFont="1" applyBorder="1"/>
    <xf numFmtId="164" fontId="3" fillId="0" borderId="0" xfId="0" applyNumberFormat="1" applyFont="1" applyBorder="1"/>
    <xf numFmtId="166" fontId="0" fillId="0" borderId="0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9F35-6018-400E-B5CC-CA22C216F82B}">
  <dimension ref="A1:F3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5" x14ac:dyDescent="0.25"/>
  <cols>
    <col min="1" max="1" width="12.7109375" customWidth="1"/>
    <col min="2" max="2" width="18.5703125" bestFit="1" customWidth="1"/>
    <col min="4" max="4" width="13.5703125" bestFit="1" customWidth="1"/>
    <col min="6" max="6" width="13.5703125" bestFit="1" customWidth="1"/>
  </cols>
  <sheetData>
    <row r="1" spans="1:6" s="10" customFormat="1" ht="30" x14ac:dyDescent="0.25">
      <c r="A1" s="11" t="s">
        <v>13</v>
      </c>
      <c r="B1" s="11" t="s">
        <v>14</v>
      </c>
      <c r="C1" s="11" t="s">
        <v>15</v>
      </c>
      <c r="D1" s="11" t="s">
        <v>16</v>
      </c>
      <c r="E1" s="11" t="s">
        <v>12</v>
      </c>
      <c r="F1" s="7" t="s">
        <v>26</v>
      </c>
    </row>
    <row r="2" spans="1:6" s="10" customFormat="1" x14ac:dyDescent="0.25">
      <c r="A2" s="16" t="s">
        <v>2</v>
      </c>
      <c r="B2" s="17"/>
      <c r="C2" s="17"/>
      <c r="D2" s="16">
        <v>2458400</v>
      </c>
      <c r="E2" s="16">
        <v>2458400</v>
      </c>
      <c r="F2" s="19">
        <v>2458400</v>
      </c>
    </row>
    <row r="3" spans="1:6" x14ac:dyDescent="0.25">
      <c r="A3" t="s">
        <v>6</v>
      </c>
      <c r="B3" t="s">
        <v>11</v>
      </c>
      <c r="C3" t="s">
        <v>17</v>
      </c>
      <c r="D3">
        <v>0.88500000000000001</v>
      </c>
      <c r="E3">
        <v>0.88500000000000001</v>
      </c>
      <c r="F3" s="20">
        <v>0.877</v>
      </c>
    </row>
    <row r="4" spans="1:6" x14ac:dyDescent="0.25">
      <c r="A4" s="4" t="s">
        <v>6</v>
      </c>
      <c r="B4" s="4" t="s">
        <v>18</v>
      </c>
      <c r="C4" s="4" t="s">
        <v>19</v>
      </c>
      <c r="D4" s="4">
        <v>0.92</v>
      </c>
      <c r="E4" s="4">
        <v>0.92</v>
      </c>
      <c r="F4" s="4">
        <v>0.93100000000000005</v>
      </c>
    </row>
    <row r="5" spans="1:6" x14ac:dyDescent="0.25">
      <c r="A5" t="s">
        <v>7</v>
      </c>
      <c r="B5" t="s">
        <v>11</v>
      </c>
      <c r="C5" t="s">
        <v>20</v>
      </c>
      <c r="D5">
        <v>2.1511999999999998</v>
      </c>
      <c r="E5">
        <v>2.1278000000000001</v>
      </c>
      <c r="F5" s="21">
        <f>F$3*F18*F$33</f>
        <v>2.0212340212017694</v>
      </c>
    </row>
    <row r="6" spans="1:6" x14ac:dyDescent="0.25">
      <c r="A6" t="s">
        <v>7</v>
      </c>
      <c r="B6" t="s">
        <v>18</v>
      </c>
      <c r="C6" t="s">
        <v>21</v>
      </c>
      <c r="D6">
        <v>1.0249999999999999</v>
      </c>
      <c r="E6">
        <v>1.012</v>
      </c>
      <c r="F6" s="20"/>
    </row>
    <row r="7" spans="1:6" x14ac:dyDescent="0.25">
      <c r="A7" t="s">
        <v>7</v>
      </c>
      <c r="B7" t="s">
        <v>5</v>
      </c>
      <c r="D7" s="12">
        <f>SQRT(D16*D16+D17*D17)</f>
        <v>0.25019847194350425</v>
      </c>
      <c r="E7">
        <v>0.24979999999999999</v>
      </c>
      <c r="F7" s="21">
        <f>F14*F14+F15*F15</f>
        <v>0.269924</v>
      </c>
    </row>
    <row r="8" spans="1:6" x14ac:dyDescent="0.25">
      <c r="A8" t="s">
        <v>7</v>
      </c>
      <c r="B8" t="s">
        <v>4</v>
      </c>
      <c r="C8" t="s">
        <v>22</v>
      </c>
      <c r="D8" s="3">
        <v>88.763733999999999</v>
      </c>
      <c r="E8" s="3">
        <v>91.1</v>
      </c>
      <c r="F8" s="20"/>
    </row>
    <row r="9" spans="1:6" x14ac:dyDescent="0.25">
      <c r="A9" t="s">
        <v>7</v>
      </c>
      <c r="B9" t="s">
        <v>1</v>
      </c>
      <c r="C9" t="s">
        <v>0</v>
      </c>
      <c r="D9" s="8">
        <v>41.781945999999998</v>
      </c>
      <c r="E9">
        <v>41.787799999999997</v>
      </c>
      <c r="F9" s="20">
        <v>41.8</v>
      </c>
    </row>
    <row r="10" spans="1:6" x14ac:dyDescent="0.25">
      <c r="A10" t="s">
        <v>7</v>
      </c>
      <c r="B10" t="s">
        <v>8</v>
      </c>
      <c r="C10" t="s">
        <v>22</v>
      </c>
      <c r="D10">
        <v>0</v>
      </c>
      <c r="E10">
        <v>0.24</v>
      </c>
      <c r="F10" s="20"/>
    </row>
    <row r="11" spans="1:6" x14ac:dyDescent="0.25">
      <c r="A11" t="s">
        <v>7</v>
      </c>
      <c r="B11" t="s">
        <v>9</v>
      </c>
      <c r="C11" t="s">
        <v>22</v>
      </c>
      <c r="D11" s="13">
        <f>MOD(DEGREES(ATAN2(D17,D16)),360)</f>
        <v>276.76663869301791</v>
      </c>
      <c r="E11">
        <v>275.8</v>
      </c>
      <c r="F11" s="22">
        <f>MOD(DEGREES(ATAN2(F15,F14)),360)</f>
        <v>265.58437826536226</v>
      </c>
    </row>
    <row r="12" spans="1:6" x14ac:dyDescent="0.25">
      <c r="A12" s="4" t="s">
        <v>7</v>
      </c>
      <c r="B12" s="4" t="s">
        <v>3</v>
      </c>
      <c r="C12" s="4" t="s">
        <v>22</v>
      </c>
      <c r="D12" s="14">
        <f>MOD(DEGREES(((D$2-D13)/D9)*2*PI()),360)</f>
        <v>337.15902078899757</v>
      </c>
      <c r="E12" s="9">
        <f>-20.46+360</f>
        <v>339.54</v>
      </c>
      <c r="F12" s="14">
        <f>MOD(DEGREES(((F$2-F13)/F9)*2*PI()),360)</f>
        <v>173.11004784528578</v>
      </c>
    </row>
    <row r="13" spans="1:6" x14ac:dyDescent="0.25">
      <c r="A13" t="s">
        <v>7</v>
      </c>
      <c r="B13" t="s">
        <v>29</v>
      </c>
      <c r="C13" t="s">
        <v>0</v>
      </c>
      <c r="D13" s="2">
        <v>2458360.8689999999</v>
      </c>
      <c r="F13" s="20">
        <v>2458421.7000000002</v>
      </c>
    </row>
    <row r="14" spans="1:6" x14ac:dyDescent="0.25">
      <c r="A14" t="s">
        <v>7</v>
      </c>
      <c r="B14" t="s">
        <v>24</v>
      </c>
      <c r="F14" s="20">
        <v>-0.51800000000000002</v>
      </c>
    </row>
    <row r="15" spans="1:6" x14ac:dyDescent="0.25">
      <c r="A15" t="s">
        <v>7</v>
      </c>
      <c r="B15" t="s">
        <v>23</v>
      </c>
      <c r="F15" s="20">
        <v>-0.04</v>
      </c>
    </row>
    <row r="16" spans="1:6" x14ac:dyDescent="0.25">
      <c r="A16" t="s">
        <v>7</v>
      </c>
      <c r="B16" t="s">
        <v>27</v>
      </c>
      <c r="D16">
        <v>-0.24845565999999999</v>
      </c>
      <c r="F16" s="20"/>
    </row>
    <row r="17" spans="1:6" x14ac:dyDescent="0.25">
      <c r="A17" t="s">
        <v>7</v>
      </c>
      <c r="B17" t="s">
        <v>28</v>
      </c>
      <c r="D17">
        <v>2.9479829999999999E-2</v>
      </c>
      <c r="F17" s="20"/>
    </row>
    <row r="18" spans="1:6" ht="15.75" thickBot="1" x14ac:dyDescent="0.3">
      <c r="A18" s="5" t="s">
        <v>7</v>
      </c>
      <c r="B18" s="5" t="s">
        <v>25</v>
      </c>
      <c r="C18" s="5"/>
      <c r="D18" s="15">
        <f>D5/D$3/D$33</f>
        <v>2.3202949407401465E-3</v>
      </c>
      <c r="E18" s="15">
        <f>E5/E$3/E$33</f>
        <v>2.2950555852114564E-3</v>
      </c>
      <c r="F18" s="15">
        <v>2.2000000000000001E-3</v>
      </c>
    </row>
    <row r="19" spans="1:6" x14ac:dyDescent="0.25">
      <c r="A19" t="s">
        <v>10</v>
      </c>
      <c r="B19" t="s">
        <v>11</v>
      </c>
      <c r="C19" t="s">
        <v>20</v>
      </c>
      <c r="D19" s="8">
        <v>2.63849</v>
      </c>
      <c r="E19">
        <v>2.6315</v>
      </c>
      <c r="F19" s="21">
        <f>F$3*F32*F$33</f>
        <v>2.5908545180859042</v>
      </c>
    </row>
    <row r="20" spans="1:6" x14ac:dyDescent="0.25">
      <c r="A20" t="s">
        <v>10</v>
      </c>
      <c r="B20" t="s">
        <v>18</v>
      </c>
      <c r="C20" t="s">
        <v>21</v>
      </c>
      <c r="D20">
        <v>0.9738</v>
      </c>
      <c r="E20">
        <v>0.98970000000000002</v>
      </c>
      <c r="F20" s="20"/>
    </row>
    <row r="21" spans="1:6" x14ac:dyDescent="0.25">
      <c r="A21" t="s">
        <v>10</v>
      </c>
      <c r="B21" t="s">
        <v>5</v>
      </c>
      <c r="D21" s="12">
        <f>SQRT(D30*D30+D31*D31)</f>
        <v>3.5024375561053193E-2</v>
      </c>
      <c r="E21">
        <v>3.7699999999999997E-2</v>
      </c>
      <c r="F21" s="21">
        <f>F28*F28+F29*F29</f>
        <v>3.8800000000000001E-2</v>
      </c>
    </row>
    <row r="22" spans="1:6" x14ac:dyDescent="0.25">
      <c r="A22" t="s">
        <v>10</v>
      </c>
      <c r="B22" t="s">
        <v>4</v>
      </c>
      <c r="C22" t="s">
        <v>22</v>
      </c>
      <c r="D22">
        <v>89.711567000000002</v>
      </c>
      <c r="E22">
        <v>89.69</v>
      </c>
      <c r="F22" s="20"/>
    </row>
    <row r="23" spans="1:6" x14ac:dyDescent="0.25">
      <c r="A23" t="s">
        <v>10</v>
      </c>
      <c r="B23" t="s">
        <v>1</v>
      </c>
      <c r="C23" t="s">
        <v>0</v>
      </c>
      <c r="D23">
        <v>81.820097000000004</v>
      </c>
      <c r="E23" s="6">
        <v>81.463099999999997</v>
      </c>
      <c r="F23" s="20">
        <v>81.81</v>
      </c>
    </row>
    <row r="24" spans="1:6" x14ac:dyDescent="0.25">
      <c r="A24" t="s">
        <v>10</v>
      </c>
      <c r="B24" t="s">
        <v>8</v>
      </c>
      <c r="C24" t="s">
        <v>22</v>
      </c>
      <c r="D24">
        <v>-2.016956</v>
      </c>
      <c r="E24">
        <v>0.8</v>
      </c>
      <c r="F24" s="20"/>
    </row>
    <row r="25" spans="1:6" x14ac:dyDescent="0.25">
      <c r="A25" t="s">
        <v>10</v>
      </c>
      <c r="B25" t="s">
        <v>9</v>
      </c>
      <c r="C25" t="s">
        <v>22</v>
      </c>
      <c r="D25" s="13">
        <f>MOD(DEGREES(ATAN2(D31,D30)),360)</f>
        <v>303.62478284868769</v>
      </c>
      <c r="E25" s="1">
        <v>298.89</v>
      </c>
      <c r="F25" s="22">
        <f>MOD(DEGREES(ATAN2(F29,F28)),360)</f>
        <v>293.96248897457815</v>
      </c>
    </row>
    <row r="26" spans="1:6" x14ac:dyDescent="0.25">
      <c r="A26" s="4" t="s">
        <v>10</v>
      </c>
      <c r="B26" s="4" t="s">
        <v>3</v>
      </c>
      <c r="C26" s="4" t="s">
        <v>22</v>
      </c>
      <c r="D26" s="14">
        <f>MOD(DEGREES(((D$2-D27)/D23)*2*PI()),360)</f>
        <v>137.89365221593033</v>
      </c>
      <c r="E26" s="9">
        <v>142.72</v>
      </c>
      <c r="F26" s="14">
        <f>MOD(DEGREES(((F$2-F27)/F23)*2*PI()),360)</f>
        <v>353.84598459790249</v>
      </c>
    </row>
    <row r="27" spans="1:6" x14ac:dyDescent="0.25">
      <c r="A27" t="s">
        <v>10</v>
      </c>
      <c r="B27" t="s">
        <v>29</v>
      </c>
      <c r="C27" t="s">
        <v>0</v>
      </c>
      <c r="D27" s="8">
        <v>2458368.6598</v>
      </c>
      <c r="F27" s="23">
        <v>2458401.3985000001</v>
      </c>
    </row>
    <row r="28" spans="1:6" x14ac:dyDescent="0.25">
      <c r="A28" t="s">
        <v>10</v>
      </c>
      <c r="B28" t="s">
        <v>24</v>
      </c>
      <c r="F28" s="20">
        <v>-0.18</v>
      </c>
    </row>
    <row r="29" spans="1:6" x14ac:dyDescent="0.25">
      <c r="A29" t="s">
        <v>10</v>
      </c>
      <c r="B29" t="s">
        <v>23</v>
      </c>
      <c r="F29" s="20">
        <v>0.08</v>
      </c>
    </row>
    <row r="30" spans="1:6" x14ac:dyDescent="0.25">
      <c r="A30" t="s">
        <v>10</v>
      </c>
      <c r="B30" t="s">
        <v>27</v>
      </c>
      <c r="D30">
        <v>-2.9164160000000001E-2</v>
      </c>
      <c r="E30">
        <v>-2.9159999999999998E-2</v>
      </c>
      <c r="F30" s="20"/>
    </row>
    <row r="31" spans="1:6" x14ac:dyDescent="0.25">
      <c r="A31" t="s">
        <v>10</v>
      </c>
      <c r="B31" t="s">
        <v>28</v>
      </c>
      <c r="D31">
        <v>1.9394809999999998E-2</v>
      </c>
      <c r="E31">
        <v>1.9390000000000001E-2</v>
      </c>
      <c r="F31" s="20"/>
    </row>
    <row r="32" spans="1:6" x14ac:dyDescent="0.25">
      <c r="A32" s="4" t="s">
        <v>10</v>
      </c>
      <c r="B32" s="4" t="s">
        <v>25</v>
      </c>
      <c r="C32" s="4"/>
      <c r="D32" s="18">
        <f>D19/D$3/D$33</f>
        <v>2.8458883405510739E-3</v>
      </c>
      <c r="E32" s="18">
        <f>E19/E$3/E$33</f>
        <v>2.8383488920405799E-3</v>
      </c>
      <c r="F32" s="4">
        <v>2.82E-3</v>
      </c>
    </row>
    <row r="33" spans="1:6" x14ac:dyDescent="0.25">
      <c r="A33" t="s">
        <v>30</v>
      </c>
      <c r="C33">
        <v>1047.5971914594015</v>
      </c>
      <c r="D33">
        <v>1047.5971914594015</v>
      </c>
      <c r="E33">
        <v>1047.5971914594015</v>
      </c>
      <c r="F33" s="20">
        <v>1047.5971914594015</v>
      </c>
    </row>
  </sheetData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 S</dc:creator>
  <cp:lastModifiedBy>Uli Scheuss</cp:lastModifiedBy>
  <cp:lastPrinted>2026-03-22T19:30:56Z</cp:lastPrinted>
  <dcterms:created xsi:type="dcterms:W3CDTF">2025-01-05T13:52:59Z</dcterms:created>
  <dcterms:modified xsi:type="dcterms:W3CDTF">2026-03-22T19:31:40Z</dcterms:modified>
</cp:coreProperties>
</file>