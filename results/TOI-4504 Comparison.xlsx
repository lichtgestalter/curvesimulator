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Python\curvesim\results\"/>
    </mc:Choice>
  </mc:AlternateContent>
  <xr:revisionPtr revIDLastSave="0" documentId="13_ncr:1_{227C2EA6-98A8-4CFE-9A06-BC5AB2C53925}" xr6:coauthVersionLast="47" xr6:coauthVersionMax="47" xr10:uidLastSave="{00000000-0000-0000-0000-000000000000}"/>
  <bookViews>
    <workbookView xWindow="-120" yWindow="-120" windowWidth="29040" windowHeight="15720" tabRatio="1000" xr2:uid="{6919DDE8-15F9-45FB-B5F7-4209377AF865}"/>
  </bookViews>
  <sheets>
    <sheet name="Comparison" sheetId="91" r:id="rId1"/>
    <sheet name="TT" sheetId="92" r:id="rId2"/>
    <sheet name="fuer Hanno Rein" sheetId="9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92" l="1"/>
  <c r="K21" i="92"/>
  <c r="K20" i="92"/>
  <c r="K19" i="92"/>
  <c r="K18" i="92"/>
  <c r="K17" i="92"/>
  <c r="K16" i="92"/>
  <c r="K15" i="92"/>
  <c r="K14" i="92"/>
  <c r="K13" i="92"/>
  <c r="K12" i="92"/>
  <c r="K11" i="92"/>
  <c r="K10" i="92"/>
  <c r="K9" i="92"/>
  <c r="K8" i="92"/>
  <c r="K7" i="92"/>
  <c r="K6" i="92"/>
  <c r="K5" i="92"/>
  <c r="K4" i="92"/>
  <c r="I23" i="92"/>
  <c r="I22" i="92"/>
  <c r="I21" i="92"/>
  <c r="I20" i="92"/>
  <c r="I19" i="92"/>
  <c r="I18" i="92"/>
  <c r="I17" i="92"/>
  <c r="I16" i="92"/>
  <c r="I15" i="92"/>
  <c r="I14" i="92"/>
  <c r="I13" i="92"/>
  <c r="I12" i="92"/>
  <c r="I11" i="92"/>
  <c r="I10" i="92"/>
  <c r="I9" i="92"/>
  <c r="I8" i="92"/>
  <c r="I7" i="92"/>
  <c r="I6" i="92"/>
  <c r="I5" i="92"/>
  <c r="I4" i="92"/>
  <c r="I1" i="92" s="1"/>
  <c r="G22" i="92"/>
  <c r="G21" i="92"/>
  <c r="G20" i="92"/>
  <c r="G19" i="92"/>
  <c r="G18" i="92"/>
  <c r="G17" i="92"/>
  <c r="G16" i="92"/>
  <c r="G15" i="92"/>
  <c r="G14" i="92"/>
  <c r="G13" i="92"/>
  <c r="G12" i="92"/>
  <c r="G11" i="92"/>
  <c r="G10" i="92"/>
  <c r="G9" i="92"/>
  <c r="G8" i="92"/>
  <c r="G7" i="92"/>
  <c r="G6" i="92"/>
  <c r="G5" i="92"/>
  <c r="G4" i="92"/>
  <c r="D23" i="92"/>
  <c r="G23" i="92" s="1"/>
  <c r="G1" i="92" l="1"/>
  <c r="K23" i="92"/>
  <c r="K1" i="92" s="1"/>
  <c r="E18" i="91" l="1"/>
  <c r="D18" i="91"/>
  <c r="D32" i="91"/>
  <c r="E32" i="91"/>
  <c r="F19" i="91"/>
  <c r="F5" i="91"/>
  <c r="F26" i="91"/>
  <c r="F12" i="91"/>
  <c r="F25" i="91"/>
  <c r="F21" i="91"/>
  <c r="F11" i="91"/>
  <c r="F7" i="91"/>
  <c r="D26" i="91"/>
  <c r="D12" i="91"/>
  <c r="D25" i="91"/>
  <c r="D21" i="91"/>
  <c r="E12" i="91"/>
  <c r="D11" i="91"/>
  <c r="D7" i="91"/>
</calcChain>
</file>

<file path=xl/sharedStrings.xml><?xml version="1.0" encoding="utf-8"?>
<sst xmlns="http://schemas.openxmlformats.org/spreadsheetml/2006/main" count="176" uniqueCount="46">
  <si>
    <t>d</t>
  </si>
  <si>
    <t>P</t>
  </si>
  <si>
    <t>Epoch</t>
  </si>
  <si>
    <t>ma</t>
  </si>
  <si>
    <t>i</t>
  </si>
  <si>
    <t>e</t>
  </si>
  <si>
    <t>TOI4504</t>
  </si>
  <si>
    <t>TOI4504d</t>
  </si>
  <si>
    <t>Omega</t>
  </si>
  <si>
    <t>omega</t>
  </si>
  <si>
    <t>TOI4504c</t>
  </si>
  <si>
    <t>mass</t>
  </si>
  <si>
    <t>Uli</t>
  </si>
  <si>
    <t>Body</t>
  </si>
  <si>
    <t>Param</t>
  </si>
  <si>
    <t>Unit</t>
  </si>
  <si>
    <t>Trifon</t>
  </si>
  <si>
    <t>m_sun</t>
  </si>
  <si>
    <t>radius</t>
  </si>
  <si>
    <t>r_sun</t>
  </si>
  <si>
    <t>m_jup</t>
  </si>
  <si>
    <t>r_jup</t>
  </si>
  <si>
    <t>deg</t>
  </si>
  <si>
    <t>sqrt(e)*cos(omega)</t>
  </si>
  <si>
    <t>sqrt(e)*sin(omega)</t>
  </si>
  <si>
    <t>m/m*</t>
  </si>
  <si>
    <t>Almenara
Fig. A.1.</t>
  </si>
  <si>
    <t>h = e*sin(omega)</t>
  </si>
  <si>
    <t>k = e*cos(omega)</t>
  </si>
  <si>
    <t>t_omega</t>
  </si>
  <si>
    <t>m Sun / m Jup</t>
  </si>
  <si>
    <t>sector</t>
  </si>
  <si>
    <t>eclipser</t>
  </si>
  <si>
    <t>nr</t>
  </si>
  <si>
    <t>observed</t>
  </si>
  <si>
    <t>observed_err</t>
  </si>
  <si>
    <t>Fast TTV</t>
  </si>
  <si>
    <t>Ø ABS</t>
  </si>
  <si>
    <t>delta std</t>
  </si>
  <si>
    <t>P=81,820097</t>
  </si>
  <si>
    <t>P=81.810665</t>
  </si>
  <si>
    <t>Fast TTV reproduziert die beobachteten TT mit Trifons Bet Fit Parametern sehr gut.</t>
  </si>
  <si>
    <t>Anpassung von P(c) alleine reicht nicht, um mit Uli Best Fit die beobachteten TT zu reproduzieren!</t>
  </si>
  <si>
    <t>P=81.4631</t>
  </si>
  <si>
    <t>sim1</t>
  </si>
  <si>
    <t>sim2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</si>
</sst>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66" fontId="0" fillId="0" borderId="0" xfId="0" applyNumberFormat="1"/>
    <xf numFmtId="164" fontId="0" fillId="0" borderId="1" xfId="0" applyNumberFormat="1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3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  <xf numFmtId="167" fontId="0" fillId="0" borderId="2" xfId="0" applyNumberForma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7" fontId="0" fillId="0" borderId="1" xfId="0" applyNumberFormat="1" applyBorder="1"/>
    <xf numFmtId="0" fontId="0" fillId="0" borderId="3" xfId="0" applyBorder="1" applyAlignment="1">
      <alignment vertical="center" wrapText="1"/>
    </xf>
    <xf numFmtId="2" fontId="3" fillId="0" borderId="0" xfId="0" applyNumberFormat="1" applyFont="1"/>
    <xf numFmtId="2" fontId="3" fillId="0" borderId="1" xfId="0" applyNumberFormat="1" applyFont="1" applyBorder="1"/>
    <xf numFmtId="2" fontId="0" fillId="0" borderId="1" xfId="0" applyNumberFormat="1" applyBorder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166" fontId="5" fillId="0" borderId="0" xfId="0" applyNumberFormat="1" applyFont="1"/>
    <xf numFmtId="167" fontId="5" fillId="0" borderId="4" xfId="0" applyNumberFormat="1" applyFont="1" applyBorder="1"/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166" fontId="5" fillId="0" borderId="1" xfId="0" applyNumberFormat="1" applyFont="1" applyBorder="1"/>
    <xf numFmtId="167" fontId="5" fillId="0" borderId="7" xfId="0" applyNumberFormat="1" applyFont="1" applyBorder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5" fillId="0" borderId="2" xfId="0" applyNumberFormat="1" applyFont="1" applyBorder="1"/>
    <xf numFmtId="167" fontId="5" fillId="0" borderId="8" xfId="0" applyNumberFormat="1" applyFont="1" applyBorder="1"/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64" fontId="5" fillId="0" borderId="4" xfId="0" applyNumberFormat="1" applyFont="1" applyBorder="1"/>
    <xf numFmtId="164" fontId="5" fillId="0" borderId="7" xfId="0" applyNumberFormat="1" applyFont="1" applyBorder="1"/>
    <xf numFmtId="164" fontId="5" fillId="0" borderId="8" xfId="0" applyNumberFormat="1" applyFont="1" applyBorder="1"/>
    <xf numFmtId="164" fontId="0" fillId="4" borderId="11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0" fontId="0" fillId="4" borderId="12" xfId="0" applyFill="1" applyBorder="1"/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6" borderId="12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7" fillId="0" borderId="0" xfId="0" applyFont="1"/>
    <xf numFmtId="166" fontId="7" fillId="0" borderId="0" xfId="0" applyNumberFormat="1" applyFont="1"/>
    <xf numFmtId="2" fontId="7" fillId="0" borderId="0" xfId="0" applyNumberFormat="1" applyFont="1"/>
    <xf numFmtId="2" fontId="7" fillId="0" borderId="1" xfId="0" applyNumberFormat="1" applyFont="1" applyBorder="1"/>
    <xf numFmtId="164" fontId="7" fillId="0" borderId="0" xfId="0" applyNumberFormat="1" applyFont="1"/>
    <xf numFmtId="164" fontId="7" fillId="0" borderId="1" xfId="0" applyNumberFormat="1" applyFont="1" applyBorder="1"/>
    <xf numFmtId="0" fontId="0" fillId="0" borderId="3" xfId="0" applyBorder="1"/>
    <xf numFmtId="0" fontId="7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9F35-6018-400E-B5CC-CA22C216F82B}">
  <dimension ref="A1:F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12.7109375" customWidth="1"/>
    <col min="2" max="2" width="18.5703125" bestFit="1" customWidth="1"/>
    <col min="4" max="4" width="13.5703125" bestFit="1" customWidth="1"/>
    <col min="6" max="6" width="13.5703125" bestFit="1" customWidth="1"/>
  </cols>
  <sheetData>
    <row r="1" spans="1:6" s="10" customFormat="1" ht="30" x14ac:dyDescent="0.25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12</v>
      </c>
      <c r="F1" s="7" t="s">
        <v>26</v>
      </c>
    </row>
    <row r="2" spans="1:6" s="10" customFormat="1" x14ac:dyDescent="0.25">
      <c r="A2" s="16" t="s">
        <v>2</v>
      </c>
      <c r="B2" s="17"/>
      <c r="C2" s="17"/>
      <c r="D2" s="16">
        <v>2458400</v>
      </c>
      <c r="E2" s="16">
        <v>2458400</v>
      </c>
      <c r="F2" s="19">
        <v>2458400</v>
      </c>
    </row>
    <row r="3" spans="1:6" x14ac:dyDescent="0.25">
      <c r="A3" t="s">
        <v>6</v>
      </c>
      <c r="B3" t="s">
        <v>11</v>
      </c>
      <c r="C3" t="s">
        <v>17</v>
      </c>
      <c r="D3">
        <v>0.88500000000000001</v>
      </c>
      <c r="E3">
        <v>0.88500000000000001</v>
      </c>
      <c r="F3">
        <v>0.877</v>
      </c>
    </row>
    <row r="4" spans="1:6" x14ac:dyDescent="0.25">
      <c r="A4" s="4" t="s">
        <v>6</v>
      </c>
      <c r="B4" s="4" t="s">
        <v>18</v>
      </c>
      <c r="C4" s="4" t="s">
        <v>19</v>
      </c>
      <c r="D4" s="4">
        <v>0.92</v>
      </c>
      <c r="E4" s="4">
        <v>0.92</v>
      </c>
      <c r="F4" s="4">
        <v>0.93100000000000005</v>
      </c>
    </row>
    <row r="5" spans="1:6" x14ac:dyDescent="0.25">
      <c r="A5" t="s">
        <v>7</v>
      </c>
      <c r="B5" t="s">
        <v>11</v>
      </c>
      <c r="C5" t="s">
        <v>20</v>
      </c>
      <c r="D5">
        <v>2.1511999999999998</v>
      </c>
      <c r="E5">
        <v>2.1278000000000001</v>
      </c>
      <c r="F5" s="12">
        <f>F$3*F18*F$33</f>
        <v>2.0212340212017694</v>
      </c>
    </row>
    <row r="6" spans="1:6" x14ac:dyDescent="0.25">
      <c r="A6" t="s">
        <v>7</v>
      </c>
      <c r="B6" t="s">
        <v>18</v>
      </c>
      <c r="C6" t="s">
        <v>21</v>
      </c>
      <c r="D6">
        <v>1.0249999999999999</v>
      </c>
      <c r="E6">
        <v>1.012</v>
      </c>
    </row>
    <row r="7" spans="1:6" x14ac:dyDescent="0.25">
      <c r="A7" t="s">
        <v>7</v>
      </c>
      <c r="B7" t="s">
        <v>5</v>
      </c>
      <c r="D7" s="12">
        <f>SQRT(D16*D16+D17*D17)</f>
        <v>0.25019847194350425</v>
      </c>
      <c r="E7">
        <v>0.24979999999999999</v>
      </c>
      <c r="F7" s="12">
        <f>F14*F14+F15*F15</f>
        <v>0.269924</v>
      </c>
    </row>
    <row r="8" spans="1:6" x14ac:dyDescent="0.25">
      <c r="A8" t="s">
        <v>7</v>
      </c>
      <c r="B8" t="s">
        <v>4</v>
      </c>
      <c r="C8" t="s">
        <v>22</v>
      </c>
      <c r="D8" s="3">
        <v>88.763733999999999</v>
      </c>
      <c r="E8" s="3">
        <v>91.1</v>
      </c>
    </row>
    <row r="9" spans="1:6" x14ac:dyDescent="0.25">
      <c r="A9" t="s">
        <v>7</v>
      </c>
      <c r="B9" t="s">
        <v>1</v>
      </c>
      <c r="C9" t="s">
        <v>0</v>
      </c>
      <c r="D9" s="8">
        <v>41.781945999999998</v>
      </c>
      <c r="E9">
        <v>41.787799999999997</v>
      </c>
      <c r="F9">
        <v>41.8</v>
      </c>
    </row>
    <row r="10" spans="1:6" x14ac:dyDescent="0.25">
      <c r="A10" t="s">
        <v>7</v>
      </c>
      <c r="B10" t="s">
        <v>8</v>
      </c>
      <c r="C10" t="s">
        <v>22</v>
      </c>
      <c r="D10">
        <v>0</v>
      </c>
      <c r="E10">
        <v>0.24</v>
      </c>
    </row>
    <row r="11" spans="1:6" x14ac:dyDescent="0.25">
      <c r="A11" t="s">
        <v>7</v>
      </c>
      <c r="B11" t="s">
        <v>9</v>
      </c>
      <c r="C11" t="s">
        <v>22</v>
      </c>
      <c r="D11" s="20">
        <f>MOD(DEGREES(ATAN2(D17,D16)),360)</f>
        <v>276.76663869301791</v>
      </c>
      <c r="E11" s="3">
        <v>275.8</v>
      </c>
      <c r="F11" s="20">
        <f>MOD(DEGREES(ATAN2(F15,F14)),360)</f>
        <v>265.58437826536226</v>
      </c>
    </row>
    <row r="12" spans="1:6" x14ac:dyDescent="0.25">
      <c r="A12" s="4" t="s">
        <v>7</v>
      </c>
      <c r="B12" s="4" t="s">
        <v>3</v>
      </c>
      <c r="C12" s="4" t="s">
        <v>22</v>
      </c>
      <c r="D12" s="21">
        <f>MOD(DEGREES(((D$2-D13)/D9)*2*PI()),360)</f>
        <v>337.15902078899757</v>
      </c>
      <c r="E12" s="22">
        <f>-20.46+360</f>
        <v>339.54</v>
      </c>
      <c r="F12" s="21">
        <f>MOD(DEGREES(((F$2-F13)/F9)*2*PI()),360)</f>
        <v>173.11004784528578</v>
      </c>
    </row>
    <row r="13" spans="1:6" x14ac:dyDescent="0.25">
      <c r="A13" t="s">
        <v>7</v>
      </c>
      <c r="B13" t="s">
        <v>29</v>
      </c>
      <c r="C13" t="s">
        <v>0</v>
      </c>
      <c r="D13" s="2">
        <v>2458360.8689999999</v>
      </c>
      <c r="F13">
        <v>2458421.7000000002</v>
      </c>
    </row>
    <row r="14" spans="1:6" x14ac:dyDescent="0.25">
      <c r="A14" t="s">
        <v>7</v>
      </c>
      <c r="B14" t="s">
        <v>24</v>
      </c>
      <c r="F14">
        <v>-0.51800000000000002</v>
      </c>
    </row>
    <row r="15" spans="1:6" x14ac:dyDescent="0.25">
      <c r="A15" t="s">
        <v>7</v>
      </c>
      <c r="B15" t="s">
        <v>23</v>
      </c>
      <c r="F15">
        <v>-0.04</v>
      </c>
    </row>
    <row r="16" spans="1:6" x14ac:dyDescent="0.25">
      <c r="A16" t="s">
        <v>7</v>
      </c>
      <c r="B16" t="s">
        <v>27</v>
      </c>
      <c r="D16">
        <v>-0.24845565999999999</v>
      </c>
    </row>
    <row r="17" spans="1:6" x14ac:dyDescent="0.25">
      <c r="A17" t="s">
        <v>7</v>
      </c>
      <c r="B17" t="s">
        <v>28</v>
      </c>
      <c r="D17">
        <v>2.9479829999999999E-2</v>
      </c>
    </row>
    <row r="18" spans="1:6" ht="15.75" thickBot="1" x14ac:dyDescent="0.3">
      <c r="A18" s="5" t="s">
        <v>7</v>
      </c>
      <c r="B18" s="5" t="s">
        <v>25</v>
      </c>
      <c r="C18" s="5"/>
      <c r="D18" s="15">
        <f>D5/D$3/D$33</f>
        <v>2.3202949407401465E-3</v>
      </c>
      <c r="E18" s="15">
        <f>E5/E$3/E$33</f>
        <v>2.2950555852114564E-3</v>
      </c>
      <c r="F18" s="15">
        <v>2.2000000000000001E-3</v>
      </c>
    </row>
    <row r="19" spans="1:6" x14ac:dyDescent="0.25">
      <c r="A19" t="s">
        <v>10</v>
      </c>
      <c r="B19" t="s">
        <v>11</v>
      </c>
      <c r="C19" t="s">
        <v>20</v>
      </c>
      <c r="D19" s="8">
        <v>2.63849</v>
      </c>
      <c r="E19">
        <v>2.6315</v>
      </c>
      <c r="F19" s="12">
        <f>F$3*F32*F$33</f>
        <v>2.5908545180859042</v>
      </c>
    </row>
    <row r="20" spans="1:6" x14ac:dyDescent="0.25">
      <c r="A20" t="s">
        <v>10</v>
      </c>
      <c r="B20" t="s">
        <v>18</v>
      </c>
      <c r="C20" t="s">
        <v>21</v>
      </c>
      <c r="D20">
        <v>0.9738</v>
      </c>
      <c r="E20">
        <v>0.98970000000000002</v>
      </c>
    </row>
    <row r="21" spans="1:6" x14ac:dyDescent="0.25">
      <c r="A21" t="s">
        <v>10</v>
      </c>
      <c r="B21" t="s">
        <v>5</v>
      </c>
      <c r="D21" s="12">
        <f>SQRT(D30*D30+D31*D31)</f>
        <v>3.5024375561053193E-2</v>
      </c>
      <c r="E21">
        <v>3.7699999999999997E-2</v>
      </c>
      <c r="F21" s="12">
        <f>F28*F28+F29*F29</f>
        <v>3.8800000000000001E-2</v>
      </c>
    </row>
    <row r="22" spans="1:6" x14ac:dyDescent="0.25">
      <c r="A22" t="s">
        <v>10</v>
      </c>
      <c r="B22" t="s">
        <v>4</v>
      </c>
      <c r="C22" t="s">
        <v>22</v>
      </c>
      <c r="D22" s="3">
        <v>89.711567000000002</v>
      </c>
      <c r="E22">
        <v>89.69</v>
      </c>
    </row>
    <row r="23" spans="1:6" x14ac:dyDescent="0.25">
      <c r="A23" t="s">
        <v>10</v>
      </c>
      <c r="B23" t="s">
        <v>1</v>
      </c>
      <c r="C23" t="s">
        <v>0</v>
      </c>
      <c r="D23">
        <v>81.820097000000004</v>
      </c>
      <c r="E23" s="6">
        <v>81.463099999999997</v>
      </c>
      <c r="F23">
        <v>81.81</v>
      </c>
    </row>
    <row r="24" spans="1:6" x14ac:dyDescent="0.25">
      <c r="A24" t="s">
        <v>10</v>
      </c>
      <c r="B24" t="s">
        <v>8</v>
      </c>
      <c r="C24" t="s">
        <v>22</v>
      </c>
      <c r="D24">
        <v>-2.016956</v>
      </c>
      <c r="E24">
        <v>0.8</v>
      </c>
    </row>
    <row r="25" spans="1:6" x14ac:dyDescent="0.25">
      <c r="A25" t="s">
        <v>10</v>
      </c>
      <c r="B25" t="s">
        <v>9</v>
      </c>
      <c r="C25" t="s">
        <v>22</v>
      </c>
      <c r="D25" s="20">
        <f>MOD(DEGREES(ATAN2(D31,D30)),360)</f>
        <v>303.62478284868769</v>
      </c>
      <c r="E25" s="1">
        <v>298.89</v>
      </c>
      <c r="F25" s="13">
        <f>MOD(DEGREES(ATAN2(F29,F28)),360)</f>
        <v>293.96248897457815</v>
      </c>
    </row>
    <row r="26" spans="1:6" x14ac:dyDescent="0.25">
      <c r="A26" s="4" t="s">
        <v>10</v>
      </c>
      <c r="B26" s="4" t="s">
        <v>3</v>
      </c>
      <c r="C26" s="4" t="s">
        <v>22</v>
      </c>
      <c r="D26" s="21">
        <f>MOD(DEGREES(((D$2-D27)/D23)*2*PI()),360)</f>
        <v>137.89365221593033</v>
      </c>
      <c r="E26" s="9">
        <v>142.72</v>
      </c>
      <c r="F26" s="14">
        <f>MOD(DEGREES(((F$2-F27)/F23)*2*PI()),360)</f>
        <v>353.84598459790249</v>
      </c>
    </row>
    <row r="27" spans="1:6" x14ac:dyDescent="0.25">
      <c r="A27" t="s">
        <v>10</v>
      </c>
      <c r="B27" t="s">
        <v>29</v>
      </c>
      <c r="C27" t="s">
        <v>0</v>
      </c>
      <c r="D27" s="8">
        <v>2458368.6598</v>
      </c>
      <c r="F27" s="8">
        <v>2458401.3985000001</v>
      </c>
    </row>
    <row r="28" spans="1:6" x14ac:dyDescent="0.25">
      <c r="A28" t="s">
        <v>10</v>
      </c>
      <c r="B28" t="s">
        <v>24</v>
      </c>
      <c r="F28">
        <v>-0.18</v>
      </c>
    </row>
    <row r="29" spans="1:6" x14ac:dyDescent="0.25">
      <c r="A29" t="s">
        <v>10</v>
      </c>
      <c r="B29" t="s">
        <v>23</v>
      </c>
      <c r="F29">
        <v>0.08</v>
      </c>
    </row>
    <row r="30" spans="1:6" x14ac:dyDescent="0.25">
      <c r="A30" t="s">
        <v>10</v>
      </c>
      <c r="B30" t="s">
        <v>27</v>
      </c>
      <c r="D30">
        <v>-2.9164160000000001E-2</v>
      </c>
      <c r="E30">
        <v>-2.9159999999999998E-2</v>
      </c>
    </row>
    <row r="31" spans="1:6" x14ac:dyDescent="0.25">
      <c r="A31" t="s">
        <v>10</v>
      </c>
      <c r="B31" t="s">
        <v>28</v>
      </c>
      <c r="D31">
        <v>1.9394809999999998E-2</v>
      </c>
      <c r="E31">
        <v>1.9390000000000001E-2</v>
      </c>
    </row>
    <row r="32" spans="1:6" x14ac:dyDescent="0.25">
      <c r="A32" s="4" t="s">
        <v>10</v>
      </c>
      <c r="B32" s="4" t="s">
        <v>25</v>
      </c>
      <c r="C32" s="4"/>
      <c r="D32" s="18">
        <f>D19/D$3/D$33</f>
        <v>2.8458883405510739E-3</v>
      </c>
      <c r="E32" s="18">
        <f>E19/E$3/E$33</f>
        <v>2.8383488920405799E-3</v>
      </c>
      <c r="F32" s="4">
        <v>2.82E-3</v>
      </c>
    </row>
    <row r="33" spans="1:6" x14ac:dyDescent="0.25">
      <c r="A33" t="s">
        <v>30</v>
      </c>
      <c r="C33">
        <v>1047.5971914594015</v>
      </c>
      <c r="D33">
        <v>1047.5971914594015</v>
      </c>
      <c r="E33">
        <v>1047.5971914594015</v>
      </c>
      <c r="F33">
        <v>1047.5971914594015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F1D3-CE28-48A5-9826-1479D22354BC}">
  <dimension ref="A1:M27"/>
  <sheetViews>
    <sheetView workbookViewId="0"/>
  </sheetViews>
  <sheetFormatPr baseColWidth="10" defaultRowHeight="15" x14ac:dyDescent="0.25"/>
  <cols>
    <col min="1" max="1" width="6.42578125" bestFit="1" customWidth="1"/>
    <col min="2" max="2" width="9.140625" bestFit="1" customWidth="1"/>
    <col min="3" max="3" width="5.140625" customWidth="1"/>
    <col min="4" max="4" width="12.5703125" bestFit="1" customWidth="1"/>
    <col min="5" max="5" width="12.85546875" bestFit="1" customWidth="1"/>
    <col min="6" max="6" width="12.5703125" bestFit="1" customWidth="1"/>
    <col min="7" max="7" width="9.5703125" customWidth="1"/>
    <col min="8" max="8" width="12.5703125" bestFit="1" customWidth="1"/>
    <col min="9" max="9" width="9.5703125" customWidth="1"/>
    <col min="10" max="10" width="12.5703125" bestFit="1" customWidth="1"/>
    <col min="11" max="11" width="9.5703125" customWidth="1"/>
  </cols>
  <sheetData>
    <row r="1" spans="1:13" ht="15.75" thickBot="1" x14ac:dyDescent="0.3">
      <c r="F1" s="58" t="s">
        <v>39</v>
      </c>
      <c r="G1" s="56">
        <f>AVERAGE(G4:G23)</f>
        <v>0.87090304908582861</v>
      </c>
      <c r="H1" s="61" t="s">
        <v>40</v>
      </c>
      <c r="I1" s="57">
        <f>AVERAGE(I4:I23)</f>
        <v>23.143484979265143</v>
      </c>
      <c r="J1" s="61" t="s">
        <v>43</v>
      </c>
      <c r="K1" s="57">
        <f>AVERAGE(K4:K23)</f>
        <v>715.92776441314822</v>
      </c>
    </row>
    <row r="2" spans="1:13" s="44" customFormat="1" x14ac:dyDescent="0.25">
      <c r="A2" s="40"/>
      <c r="B2" s="41"/>
      <c r="C2" s="42"/>
      <c r="D2" s="43"/>
      <c r="E2" s="43"/>
      <c r="F2" s="59" t="s">
        <v>16</v>
      </c>
      <c r="G2" s="49" t="s">
        <v>37</v>
      </c>
      <c r="H2" s="62" t="s">
        <v>12</v>
      </c>
      <c r="I2" s="51" t="s">
        <v>37</v>
      </c>
      <c r="J2" s="62" t="s">
        <v>12</v>
      </c>
      <c r="K2" s="51" t="s">
        <v>37</v>
      </c>
    </row>
    <row r="3" spans="1:13" s="44" customFormat="1" ht="15.75" thickBot="1" x14ac:dyDescent="0.3">
      <c r="A3" s="45" t="s">
        <v>31</v>
      </c>
      <c r="B3" s="46" t="s">
        <v>32</v>
      </c>
      <c r="C3" s="47" t="s">
        <v>33</v>
      </c>
      <c r="D3" s="48" t="s">
        <v>34</v>
      </c>
      <c r="E3" s="48" t="s">
        <v>35</v>
      </c>
      <c r="F3" s="60" t="s">
        <v>36</v>
      </c>
      <c r="G3" s="50" t="s">
        <v>38</v>
      </c>
      <c r="H3" s="63" t="s">
        <v>36</v>
      </c>
      <c r="I3" s="52" t="s">
        <v>38</v>
      </c>
      <c r="J3" s="63" t="s">
        <v>36</v>
      </c>
      <c r="K3" s="52" t="s">
        <v>38</v>
      </c>
    </row>
    <row r="4" spans="1:13" x14ac:dyDescent="0.25">
      <c r="A4" s="23">
        <v>3</v>
      </c>
      <c r="B4" s="24" t="s">
        <v>10</v>
      </c>
      <c r="C4" s="25">
        <v>0</v>
      </c>
      <c r="D4" s="26">
        <v>2458401.4085999997</v>
      </c>
      <c r="E4" s="27">
        <v>3.2000000000000002E-3</v>
      </c>
      <c r="F4" s="26">
        <v>2458401.4106999999</v>
      </c>
      <c r="G4" s="53">
        <f>ABS((F4-D4)/E4)</f>
        <v>0.65625004936009645</v>
      </c>
      <c r="H4" s="26">
        <v>2458401.4182000002</v>
      </c>
      <c r="I4" s="53">
        <f>ABS((H4-D4)/E4)</f>
        <v>3.0000001424923539</v>
      </c>
      <c r="J4" s="26">
        <v>2458401.4120999998</v>
      </c>
      <c r="K4" s="53">
        <f>ABS((J4-D4)/E4)</f>
        <v>1.0937500337604433</v>
      </c>
    </row>
    <row r="5" spans="1:13" x14ac:dyDescent="0.25">
      <c r="A5" s="23">
        <v>6</v>
      </c>
      <c r="B5" s="24" t="s">
        <v>10</v>
      </c>
      <c r="C5" s="25">
        <v>1</v>
      </c>
      <c r="D5" s="26">
        <v>2458483.2110000001</v>
      </c>
      <c r="E5" s="27">
        <v>3.3999999999999998E-3</v>
      </c>
      <c r="F5" s="26">
        <v>2458483.2118000002</v>
      </c>
      <c r="G5" s="53">
        <f t="shared" ref="G5:G23" si="0">ABS((F5-D5)/E5)</f>
        <v>0.23529412882292974</v>
      </c>
      <c r="H5" s="26">
        <v>2458483.2052000002</v>
      </c>
      <c r="I5" s="53">
        <f t="shared" ref="I5:I23" si="1">ABS((H5-D5)/E5)</f>
        <v>1.705882331246839</v>
      </c>
      <c r="J5" s="26">
        <v>2458482.8635</v>
      </c>
      <c r="K5" s="53">
        <f t="shared" ref="K5:K23" si="2">ABS((J5-D5)/E5)</f>
        <v>102.20588239676813</v>
      </c>
      <c r="M5" s="8"/>
    </row>
    <row r="6" spans="1:13" x14ac:dyDescent="0.25">
      <c r="A6" s="23">
        <v>9</v>
      </c>
      <c r="B6" s="24" t="s">
        <v>10</v>
      </c>
      <c r="C6" s="25">
        <v>2</v>
      </c>
      <c r="D6" s="26">
        <v>2458565.0902</v>
      </c>
      <c r="E6" s="27">
        <v>3.2499999999999999E-3</v>
      </c>
      <c r="F6" s="26">
        <v>2458565.0959000001</v>
      </c>
      <c r="G6" s="53">
        <f t="shared" si="0"/>
        <v>1.7538461834192276</v>
      </c>
      <c r="H6" s="26">
        <v>2458565.0822999999</v>
      </c>
      <c r="I6" s="53">
        <f t="shared" si="1"/>
        <v>2.4307692566743264</v>
      </c>
      <c r="J6" s="26">
        <v>2458564.4419</v>
      </c>
      <c r="K6" s="53">
        <f t="shared" si="2"/>
        <v>199.47692307715232</v>
      </c>
      <c r="M6" s="8"/>
    </row>
    <row r="7" spans="1:13" x14ac:dyDescent="0.25">
      <c r="A7" s="28">
        <v>12</v>
      </c>
      <c r="B7" s="29" t="s">
        <v>10</v>
      </c>
      <c r="C7" s="30">
        <v>3</v>
      </c>
      <c r="D7" s="31">
        <v>2458647.3328</v>
      </c>
      <c r="E7" s="32">
        <v>4.4000000000000003E-3</v>
      </c>
      <c r="F7" s="31">
        <v>2458647.3298999998</v>
      </c>
      <c r="G7" s="54">
        <f t="shared" si="0"/>
        <v>0.6590909536250612</v>
      </c>
      <c r="H7" s="31">
        <v>2458647.3202</v>
      </c>
      <c r="I7" s="54">
        <f t="shared" si="1"/>
        <v>2.8636363673616536</v>
      </c>
      <c r="J7" s="31">
        <v>2458646.4597</v>
      </c>
      <c r="K7" s="54">
        <f t="shared" si="2"/>
        <v>198.43181817453691</v>
      </c>
      <c r="M7" s="8"/>
    </row>
    <row r="8" spans="1:13" x14ac:dyDescent="0.25">
      <c r="A8" s="23">
        <v>28</v>
      </c>
      <c r="B8" s="24" t="s">
        <v>10</v>
      </c>
      <c r="C8" s="25">
        <v>8</v>
      </c>
      <c r="D8" s="26">
        <v>2459065.2370000002</v>
      </c>
      <c r="E8" s="27">
        <v>2.3500000000000001E-3</v>
      </c>
      <c r="F8" s="26">
        <v>2459065.2407999998</v>
      </c>
      <c r="G8" s="53">
        <f t="shared" si="0"/>
        <v>1.6170211057079598</v>
      </c>
      <c r="H8" s="26">
        <v>2459065.2357000001</v>
      </c>
      <c r="I8" s="53">
        <f t="shared" si="1"/>
        <v>0.5531915404061053</v>
      </c>
      <c r="J8" s="26">
        <v>2459064.2108999998</v>
      </c>
      <c r="K8" s="53">
        <f t="shared" si="2"/>
        <v>436.63829802832703</v>
      </c>
      <c r="M8" s="8"/>
    </row>
    <row r="9" spans="1:13" x14ac:dyDescent="0.25">
      <c r="A9" s="23">
        <v>31</v>
      </c>
      <c r="B9" s="24" t="s">
        <v>10</v>
      </c>
      <c r="C9" s="25">
        <v>9</v>
      </c>
      <c r="D9" s="26">
        <v>2459148.4781999998</v>
      </c>
      <c r="E9" s="27">
        <v>2.65E-3</v>
      </c>
      <c r="F9" s="26">
        <v>2459148.4778999998</v>
      </c>
      <c r="G9" s="53">
        <f t="shared" si="0"/>
        <v>0.11320753058172622</v>
      </c>
      <c r="H9" s="26">
        <v>2459148.4284999999</v>
      </c>
      <c r="I9" s="53">
        <f t="shared" si="1"/>
        <v>18.754716927431666</v>
      </c>
      <c r="J9" s="26">
        <v>2459147.1962000001</v>
      </c>
      <c r="K9" s="53">
        <f t="shared" si="2"/>
        <v>483.77358477632953</v>
      </c>
      <c r="M9" s="8"/>
    </row>
    <row r="10" spans="1:13" x14ac:dyDescent="0.25">
      <c r="A10" s="23">
        <v>34</v>
      </c>
      <c r="B10" s="24" t="s">
        <v>10</v>
      </c>
      <c r="C10" s="25">
        <v>10</v>
      </c>
      <c r="D10" s="26">
        <v>2459231.1144000003</v>
      </c>
      <c r="E10" s="27">
        <v>2.0999999999999999E-3</v>
      </c>
      <c r="F10" s="26">
        <v>2459231.1167000001</v>
      </c>
      <c r="G10" s="53">
        <f t="shared" si="0"/>
        <v>1.0952380086694447</v>
      </c>
      <c r="H10" s="26">
        <v>2459231.0216999999</v>
      </c>
      <c r="I10" s="53">
        <f t="shared" si="1"/>
        <v>44.142857326992925</v>
      </c>
      <c r="J10" s="26">
        <v>2459229.4999000002</v>
      </c>
      <c r="K10" s="53">
        <f t="shared" si="2"/>
        <v>768.80952387693389</v>
      </c>
      <c r="M10" s="8"/>
    </row>
    <row r="11" spans="1:13" x14ac:dyDescent="0.25">
      <c r="A11" s="28">
        <v>37</v>
      </c>
      <c r="B11" s="29" t="s">
        <v>10</v>
      </c>
      <c r="C11" s="30">
        <v>11</v>
      </c>
      <c r="D11" s="31">
        <v>2459313.2535000001</v>
      </c>
      <c r="E11" s="32">
        <v>1.9E-3</v>
      </c>
      <c r="F11" s="31">
        <v>2459313.2577999998</v>
      </c>
      <c r="G11" s="54">
        <f t="shared" si="0"/>
        <v>2.2631577265105749</v>
      </c>
      <c r="H11" s="31">
        <v>2459313.1257000002</v>
      </c>
      <c r="I11" s="54">
        <f t="shared" si="1"/>
        <v>67.263157842190637</v>
      </c>
      <c r="J11" s="31">
        <v>2459311.2730999999</v>
      </c>
      <c r="K11" s="54">
        <f t="shared" si="2"/>
        <v>1042.3157895964227</v>
      </c>
      <c r="M11" s="8"/>
    </row>
    <row r="12" spans="1:13" x14ac:dyDescent="0.25">
      <c r="A12" s="23">
        <v>61</v>
      </c>
      <c r="B12" s="24" t="s">
        <v>10</v>
      </c>
      <c r="C12" s="25">
        <v>19</v>
      </c>
      <c r="D12" s="26">
        <v>2459976.0493000001</v>
      </c>
      <c r="E12" s="27">
        <v>4.4000000000000003E-3</v>
      </c>
      <c r="F12" s="26">
        <v>2459976.0480999998</v>
      </c>
      <c r="G12" s="53">
        <f t="shared" si="0"/>
        <v>0.27272733859717846</v>
      </c>
      <c r="H12" s="26">
        <v>2459976.0643000002</v>
      </c>
      <c r="I12" s="53">
        <f t="shared" si="1"/>
        <v>3.4090909387238999</v>
      </c>
      <c r="J12" s="26">
        <v>2459973.1538</v>
      </c>
      <c r="K12" s="53">
        <f t="shared" si="2"/>
        <v>658.06818184104156</v>
      </c>
      <c r="M12" s="8"/>
    </row>
    <row r="13" spans="1:13" x14ac:dyDescent="0.25">
      <c r="A13" s="23">
        <v>64</v>
      </c>
      <c r="B13" s="24" t="s">
        <v>10</v>
      </c>
      <c r="C13" s="33">
        <v>20</v>
      </c>
      <c r="D13" s="26">
        <v>2460059.6189000001</v>
      </c>
      <c r="E13" s="27">
        <v>2.3E-3</v>
      </c>
      <c r="F13" s="26">
        <v>2460059.6168</v>
      </c>
      <c r="G13" s="53">
        <f t="shared" si="0"/>
        <v>0.91304354693578638</v>
      </c>
      <c r="H13" s="26">
        <v>2460059.5575000001</v>
      </c>
      <c r="I13" s="53">
        <f t="shared" si="1"/>
        <v>26.695652176504549</v>
      </c>
      <c r="J13" s="26">
        <v>2460056.5010000002</v>
      </c>
      <c r="K13" s="53">
        <f t="shared" si="2"/>
        <v>1355.6086956320898</v>
      </c>
      <c r="M13" s="8"/>
    </row>
    <row r="14" spans="1:13" x14ac:dyDescent="0.25">
      <c r="A14" s="28">
        <v>67</v>
      </c>
      <c r="B14" s="29" t="s">
        <v>10</v>
      </c>
      <c r="C14" s="34">
        <v>21</v>
      </c>
      <c r="D14" s="31">
        <v>2460142.6048000003</v>
      </c>
      <c r="E14" s="32">
        <v>2.2499999999999998E-3</v>
      </c>
      <c r="F14" s="31">
        <v>2460142.6061</v>
      </c>
      <c r="G14" s="54">
        <f t="shared" si="0"/>
        <v>0.57777762413024902</v>
      </c>
      <c r="H14" s="31">
        <v>2460142.4610000001</v>
      </c>
      <c r="I14" s="54">
        <f t="shared" si="1"/>
        <v>63.911111197537849</v>
      </c>
      <c r="J14" s="31">
        <v>2460139.1642999998</v>
      </c>
      <c r="K14" s="54">
        <f t="shared" si="2"/>
        <v>1529.1111113296615</v>
      </c>
      <c r="M14" s="8"/>
    </row>
    <row r="15" spans="1:13" x14ac:dyDescent="0.25">
      <c r="A15" s="23">
        <v>89</v>
      </c>
      <c r="B15" s="24" t="s">
        <v>10</v>
      </c>
      <c r="C15" s="33">
        <v>28</v>
      </c>
      <c r="D15" s="26">
        <v>2460718.6126000001</v>
      </c>
      <c r="E15" s="27">
        <v>4.5799999999999999E-3</v>
      </c>
      <c r="F15" s="26">
        <v>2460718.6072</v>
      </c>
      <c r="G15" s="53">
        <f t="shared" si="0"/>
        <v>1.1790393318932129</v>
      </c>
      <c r="H15" s="26">
        <v>2460718.6047</v>
      </c>
      <c r="I15" s="53">
        <f t="shared" si="1"/>
        <v>1.72489084807676</v>
      </c>
      <c r="J15" s="26">
        <v>2460713.7359000002</v>
      </c>
      <c r="K15" s="53">
        <f t="shared" si="2"/>
        <v>1064.7816593681491</v>
      </c>
      <c r="M15" s="8"/>
    </row>
    <row r="16" spans="1:13" x14ac:dyDescent="0.25">
      <c r="A16" s="23">
        <v>95</v>
      </c>
      <c r="B16" s="24" t="s">
        <v>10</v>
      </c>
      <c r="C16" s="33">
        <v>30</v>
      </c>
      <c r="D16" s="26">
        <v>2460886.2719999999</v>
      </c>
      <c r="E16" s="27">
        <v>4.5799999999999999E-3</v>
      </c>
      <c r="F16" s="26">
        <v>2460886.2751000002</v>
      </c>
      <c r="G16" s="53">
        <f t="shared" si="0"/>
        <v>0.67685596547272531</v>
      </c>
      <c r="H16" s="26">
        <v>2460886.3358999998</v>
      </c>
      <c r="I16" s="53">
        <f t="shared" si="1"/>
        <v>13.951965054602862</v>
      </c>
      <c r="J16" s="26">
        <v>2460881.5249999999</v>
      </c>
      <c r="K16" s="53">
        <f t="shared" si="2"/>
        <v>1036.4628820903763</v>
      </c>
      <c r="M16" s="8"/>
    </row>
    <row r="17" spans="1:13" ht="15.75" thickBot="1" x14ac:dyDescent="0.3">
      <c r="A17" s="35">
        <v>97</v>
      </c>
      <c r="B17" s="36" t="s">
        <v>10</v>
      </c>
      <c r="C17" s="37">
        <v>31</v>
      </c>
      <c r="D17" s="38">
        <v>2460970.0865000002</v>
      </c>
      <c r="E17" s="39">
        <v>6.0000000000000001E-3</v>
      </c>
      <c r="F17" s="38">
        <v>2460970.0811999999</v>
      </c>
      <c r="G17" s="55">
        <f t="shared" si="0"/>
        <v>0.88333338499069214</v>
      </c>
      <c r="H17" s="38">
        <v>2460970.0865000002</v>
      </c>
      <c r="I17" s="55">
        <f t="shared" si="1"/>
        <v>0</v>
      </c>
      <c r="J17" s="38">
        <v>2460965.2303999998</v>
      </c>
      <c r="K17" s="55">
        <f t="shared" si="2"/>
        <v>809.35000007351243</v>
      </c>
      <c r="M17" s="8"/>
    </row>
    <row r="18" spans="1:13" x14ac:dyDescent="0.25">
      <c r="A18" s="23">
        <v>88</v>
      </c>
      <c r="B18" s="24" t="s">
        <v>7</v>
      </c>
      <c r="C18" s="33">
        <v>0</v>
      </c>
      <c r="D18" s="26">
        <v>2460695.5345999999</v>
      </c>
      <c r="E18" s="27">
        <v>4.5799999999999999E-3</v>
      </c>
      <c r="F18" s="26">
        <v>2460695.5397999999</v>
      </c>
      <c r="G18" s="53">
        <f t="shared" si="0"/>
        <v>1.1353711821301535</v>
      </c>
      <c r="H18" s="26">
        <v>2460695.3920999998</v>
      </c>
      <c r="I18" s="53">
        <f t="shared" si="1"/>
        <v>31.113537134171573</v>
      </c>
      <c r="J18" s="26">
        <v>2460691.4147000001</v>
      </c>
      <c r="K18" s="53">
        <f t="shared" si="2"/>
        <v>899.54148467597611</v>
      </c>
      <c r="M18" s="8"/>
    </row>
    <row r="19" spans="1:13" x14ac:dyDescent="0.25">
      <c r="A19" s="23">
        <v>89</v>
      </c>
      <c r="B19" s="24" t="s">
        <v>7</v>
      </c>
      <c r="C19" s="33">
        <v>1</v>
      </c>
      <c r="D19" s="26">
        <v>2460736.6348999999</v>
      </c>
      <c r="E19" s="27">
        <v>4.5799999999999999E-3</v>
      </c>
      <c r="F19" s="26">
        <v>2460736.6342000002</v>
      </c>
      <c r="G19" s="53">
        <f t="shared" si="0"/>
        <v>0.1528383716615527</v>
      </c>
      <c r="H19" s="26">
        <v>2460736.4485999998</v>
      </c>
      <c r="I19" s="53">
        <f t="shared" si="1"/>
        <v>40.676855933588143</v>
      </c>
      <c r="J19" s="26">
        <v>2460732.3349000001</v>
      </c>
      <c r="K19" s="53">
        <f t="shared" si="2"/>
        <v>938.86462878029158</v>
      </c>
      <c r="M19" s="8"/>
    </row>
    <row r="20" spans="1:13" x14ac:dyDescent="0.25">
      <c r="A20" s="23">
        <v>94</v>
      </c>
      <c r="B20" s="24" t="s">
        <v>7</v>
      </c>
      <c r="C20" s="33">
        <v>4</v>
      </c>
      <c r="D20" s="26">
        <v>2460859.2275</v>
      </c>
      <c r="E20" s="27">
        <v>4.5799999999999999E-3</v>
      </c>
      <c r="F20" s="26">
        <v>2460859.2245</v>
      </c>
      <c r="G20" s="53">
        <f t="shared" si="0"/>
        <v>0.65502183975481054</v>
      </c>
      <c r="H20" s="26">
        <v>2460858.9695000001</v>
      </c>
      <c r="I20" s="53">
        <f t="shared" si="1"/>
        <v>56.331877710549854</v>
      </c>
      <c r="J20" s="26">
        <v>2460854.4205</v>
      </c>
      <c r="K20" s="53">
        <f t="shared" si="2"/>
        <v>1049.5633187837996</v>
      </c>
      <c r="M20" s="8"/>
    </row>
    <row r="21" spans="1:13" x14ac:dyDescent="0.25">
      <c r="A21" s="23">
        <v>95</v>
      </c>
      <c r="B21" s="24" t="s">
        <v>7</v>
      </c>
      <c r="C21" s="33">
        <v>5</v>
      </c>
      <c r="D21" s="26">
        <v>2460900.06</v>
      </c>
      <c r="E21" s="27">
        <v>4.5799999999999999E-3</v>
      </c>
      <c r="F21" s="26">
        <v>2460900.0610000002</v>
      </c>
      <c r="G21" s="53">
        <f t="shared" si="0"/>
        <v>0.21834064714252688</v>
      </c>
      <c r="H21" s="26">
        <v>2460899.8029999998</v>
      </c>
      <c r="I21" s="53">
        <f t="shared" si="1"/>
        <v>56.113537165080096</v>
      </c>
      <c r="J21" s="26">
        <v>2460895.1200999999</v>
      </c>
      <c r="K21" s="53">
        <f t="shared" si="2"/>
        <v>1078.5807860510904</v>
      </c>
      <c r="M21" s="8"/>
    </row>
    <row r="22" spans="1:13" x14ac:dyDescent="0.25">
      <c r="A22" s="23">
        <v>97</v>
      </c>
      <c r="B22" s="24" t="s">
        <v>7</v>
      </c>
      <c r="C22" s="33">
        <v>6</v>
      </c>
      <c r="D22" s="26">
        <v>2460940.8199999998</v>
      </c>
      <c r="E22" s="27">
        <v>3.3000000000000002E-2</v>
      </c>
      <c r="F22" s="26">
        <v>2460940.8517</v>
      </c>
      <c r="G22" s="53">
        <f t="shared" si="0"/>
        <v>0.96060606566342432</v>
      </c>
      <c r="H22" s="26">
        <v>2460940.6022999999</v>
      </c>
      <c r="I22" s="53">
        <f t="shared" si="1"/>
        <v>6.5969696945764795</v>
      </c>
      <c r="J22" s="26">
        <v>2460935.7941999999</v>
      </c>
      <c r="K22" s="53">
        <f t="shared" si="2"/>
        <v>152.29696969529894</v>
      </c>
      <c r="M22" s="8"/>
    </row>
    <row r="23" spans="1:13" ht="15.75" thickBot="1" x14ac:dyDescent="0.3">
      <c r="A23" s="35">
        <v>97</v>
      </c>
      <c r="B23" s="36" t="s">
        <v>7</v>
      </c>
      <c r="C23" s="37">
        <v>7</v>
      </c>
      <c r="D23" s="38">
        <f>2460981.71</f>
        <v>2460981.71</v>
      </c>
      <c r="E23" s="39">
        <v>0.01</v>
      </c>
      <c r="F23" s="38">
        <v>2460981.7239999999</v>
      </c>
      <c r="G23" s="55">
        <f t="shared" si="0"/>
        <v>1.3999999966472387</v>
      </c>
      <c r="H23" s="38">
        <v>2460981.4937</v>
      </c>
      <c r="I23" s="55">
        <f t="shared" si="1"/>
        <v>21.629999997094274</v>
      </c>
      <c r="J23" s="38">
        <v>2460976.5742000001</v>
      </c>
      <c r="K23" s="55">
        <f t="shared" si="2"/>
        <v>513.57999998144805</v>
      </c>
      <c r="M23" s="8"/>
    </row>
    <row r="24" spans="1:13" x14ac:dyDescent="0.25">
      <c r="M24" s="8"/>
    </row>
    <row r="25" spans="1:13" x14ac:dyDescent="0.25">
      <c r="M25" s="8"/>
    </row>
    <row r="26" spans="1:13" x14ac:dyDescent="0.25">
      <c r="D26" t="s">
        <v>41</v>
      </c>
    </row>
    <row r="27" spans="1:13" x14ac:dyDescent="0.25">
      <c r="D27" t="s">
        <v>42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461-834B-422D-A228-E4219B5F0CA7}">
  <dimension ref="A1:E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baseColWidth="10" defaultRowHeight="15" x14ac:dyDescent="0.25"/>
  <cols>
    <col min="1" max="1" width="12.7109375" customWidth="1"/>
    <col min="2" max="2" width="18.5703125" bestFit="1" customWidth="1"/>
    <col min="5" max="5" width="13.5703125" bestFit="1" customWidth="1"/>
  </cols>
  <sheetData>
    <row r="1" spans="1:5" s="10" customFormat="1" x14ac:dyDescent="0.25">
      <c r="A1" s="11" t="s">
        <v>13</v>
      </c>
      <c r="B1" s="11" t="s">
        <v>14</v>
      </c>
      <c r="C1" s="11" t="s">
        <v>15</v>
      </c>
      <c r="D1" s="11" t="s">
        <v>44</v>
      </c>
      <c r="E1" s="11" t="s">
        <v>45</v>
      </c>
    </row>
    <row r="2" spans="1:5" x14ac:dyDescent="0.25">
      <c r="A2" s="70" t="s">
        <v>6</v>
      </c>
      <c r="B2" s="70" t="s">
        <v>11</v>
      </c>
      <c r="C2" s="70" t="s">
        <v>17</v>
      </c>
      <c r="D2" s="71">
        <v>0.88500000000000001</v>
      </c>
      <c r="E2" s="71">
        <v>0.88500000000000001</v>
      </c>
    </row>
    <row r="3" spans="1:5" x14ac:dyDescent="0.25">
      <c r="A3" t="s">
        <v>7</v>
      </c>
      <c r="B3" t="s">
        <v>11</v>
      </c>
      <c r="C3" t="s">
        <v>20</v>
      </c>
      <c r="D3" s="64">
        <v>2.1278000000000001</v>
      </c>
      <c r="E3" s="64">
        <v>2.1511999999999998</v>
      </c>
    </row>
    <row r="4" spans="1:5" x14ac:dyDescent="0.25">
      <c r="A4" t="s">
        <v>7</v>
      </c>
      <c r="B4" t="s">
        <v>5</v>
      </c>
      <c r="D4" s="64">
        <v>0.24979999999999999</v>
      </c>
      <c r="E4" s="65">
        <v>0.25019847194350425</v>
      </c>
    </row>
    <row r="5" spans="1:5" x14ac:dyDescent="0.25">
      <c r="A5" t="s">
        <v>7</v>
      </c>
      <c r="B5" t="s">
        <v>4</v>
      </c>
      <c r="C5" t="s">
        <v>22</v>
      </c>
      <c r="D5" s="66">
        <v>91.1</v>
      </c>
      <c r="E5" s="66">
        <v>88.763733999999999</v>
      </c>
    </row>
    <row r="6" spans="1:5" x14ac:dyDescent="0.25">
      <c r="A6" t="s">
        <v>7</v>
      </c>
      <c r="B6" t="s">
        <v>1</v>
      </c>
      <c r="C6" t="s">
        <v>0</v>
      </c>
      <c r="D6" s="64">
        <v>41.787799999999997</v>
      </c>
      <c r="E6" s="65">
        <v>41.781945999999998</v>
      </c>
    </row>
    <row r="7" spans="1:5" x14ac:dyDescent="0.25">
      <c r="A7" t="s">
        <v>7</v>
      </c>
      <c r="B7" t="s">
        <v>8</v>
      </c>
      <c r="C7" t="s">
        <v>22</v>
      </c>
      <c r="D7" s="64">
        <v>0.24</v>
      </c>
      <c r="E7" s="64">
        <v>0</v>
      </c>
    </row>
    <row r="8" spans="1:5" x14ac:dyDescent="0.25">
      <c r="A8" t="s">
        <v>7</v>
      </c>
      <c r="B8" t="s">
        <v>9</v>
      </c>
      <c r="C8" t="s">
        <v>22</v>
      </c>
      <c r="D8" s="66">
        <v>275.8</v>
      </c>
      <c r="E8" s="66">
        <v>276.76663869301791</v>
      </c>
    </row>
    <row r="9" spans="1:5" x14ac:dyDescent="0.25">
      <c r="A9" s="4" t="s">
        <v>7</v>
      </c>
      <c r="B9" s="4" t="s">
        <v>3</v>
      </c>
      <c r="C9" s="4" t="s">
        <v>22</v>
      </c>
      <c r="D9" s="67">
        <v>339.54</v>
      </c>
      <c r="E9" s="67">
        <v>337.15902078899757</v>
      </c>
    </row>
    <row r="10" spans="1:5" x14ac:dyDescent="0.25">
      <c r="A10" t="s">
        <v>10</v>
      </c>
      <c r="B10" t="s">
        <v>11</v>
      </c>
      <c r="C10" t="s">
        <v>20</v>
      </c>
      <c r="D10" s="64">
        <v>2.6315</v>
      </c>
      <c r="E10" s="65">
        <v>2.63849</v>
      </c>
    </row>
    <row r="11" spans="1:5" x14ac:dyDescent="0.25">
      <c r="A11" t="s">
        <v>10</v>
      </c>
      <c r="B11" t="s">
        <v>5</v>
      </c>
      <c r="D11" s="64">
        <v>3.7699999999999997E-2</v>
      </c>
      <c r="E11" s="65">
        <v>3.5024375561053193E-2</v>
      </c>
    </row>
    <row r="12" spans="1:5" x14ac:dyDescent="0.25">
      <c r="A12" t="s">
        <v>10</v>
      </c>
      <c r="B12" t="s">
        <v>4</v>
      </c>
      <c r="C12" t="s">
        <v>22</v>
      </c>
      <c r="D12" s="64">
        <v>89.69</v>
      </c>
      <c r="E12" s="66">
        <v>89.711567000000002</v>
      </c>
    </row>
    <row r="13" spans="1:5" x14ac:dyDescent="0.25">
      <c r="A13" t="s">
        <v>10</v>
      </c>
      <c r="B13" t="s">
        <v>1</v>
      </c>
      <c r="C13" t="s">
        <v>0</v>
      </c>
      <c r="D13" s="6">
        <v>81.463099999999997</v>
      </c>
      <c r="E13" s="64">
        <v>81.820097000000004</v>
      </c>
    </row>
    <row r="14" spans="1:5" x14ac:dyDescent="0.25">
      <c r="A14" t="s">
        <v>10</v>
      </c>
      <c r="B14" t="s">
        <v>8</v>
      </c>
      <c r="C14" t="s">
        <v>22</v>
      </c>
      <c r="D14" s="64">
        <v>0.8</v>
      </c>
      <c r="E14" s="64">
        <v>-2.016956</v>
      </c>
    </row>
    <row r="15" spans="1:5" x14ac:dyDescent="0.25">
      <c r="A15" t="s">
        <v>10</v>
      </c>
      <c r="B15" t="s">
        <v>9</v>
      </c>
      <c r="C15" t="s">
        <v>22</v>
      </c>
      <c r="D15" s="68">
        <v>298.89</v>
      </c>
      <c r="E15" s="66">
        <v>303.62478284868769</v>
      </c>
    </row>
    <row r="16" spans="1:5" x14ac:dyDescent="0.25">
      <c r="A16" s="4" t="s">
        <v>10</v>
      </c>
      <c r="B16" s="4" t="s">
        <v>3</v>
      </c>
      <c r="C16" s="4" t="s">
        <v>22</v>
      </c>
      <c r="D16" s="69">
        <v>142.72</v>
      </c>
      <c r="E16" s="67">
        <v>137.89365221593033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Comparison</vt:lpstr>
      <vt:lpstr>TT</vt:lpstr>
      <vt:lpstr>fuer Hanno Rein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 S</dc:creator>
  <cp:lastModifiedBy>Uli Scheuss</cp:lastModifiedBy>
  <cp:lastPrinted>2026-03-22T19:30:56Z</cp:lastPrinted>
  <dcterms:created xsi:type="dcterms:W3CDTF">2025-01-05T13:52:59Z</dcterms:created>
  <dcterms:modified xsi:type="dcterms:W3CDTF">2026-06-17T20:19:45Z</dcterms:modified>
</cp:coreProperties>
</file>