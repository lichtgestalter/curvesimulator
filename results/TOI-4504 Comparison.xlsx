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1438D461-6944-45E6-94C2-4B3C4892BF67}" xr6:coauthVersionLast="47" xr6:coauthVersionMax="47" xr10:uidLastSave="{00000000-0000-0000-0000-000000000000}"/>
  <bookViews>
    <workbookView xWindow="-120" yWindow="-120" windowWidth="29040" windowHeight="15720" tabRatio="1000" xr2:uid="{6919DDE8-15F9-45FB-B5F7-4209377AF865}"/>
  </bookViews>
  <sheets>
    <sheet name="Comparison" sheetId="9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91" l="1"/>
  <c r="D18" i="91"/>
  <c r="D32" i="91"/>
  <c r="E32" i="91"/>
  <c r="F19" i="91"/>
  <c r="F5" i="91"/>
  <c r="F26" i="91"/>
  <c r="F12" i="91"/>
  <c r="F25" i="91"/>
  <c r="F21" i="91"/>
  <c r="F11" i="91"/>
  <c r="F7" i="91"/>
  <c r="D26" i="91"/>
  <c r="D12" i="91"/>
  <c r="D25" i="91"/>
  <c r="D21" i="91"/>
  <c r="E12" i="91"/>
  <c r="D11" i="91"/>
  <c r="D7" i="91"/>
</calcChain>
</file>

<file path=xl/sharedStrings.xml><?xml version="1.0" encoding="utf-8"?>
<sst xmlns="http://schemas.openxmlformats.org/spreadsheetml/2006/main" count="86" uniqueCount="31">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</sst>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F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5" x14ac:dyDescent="0.25"/>
  <cols>
    <col min="1" max="1" width="12.7109375" customWidth="1"/>
    <col min="2" max="2" width="18.5703125" bestFit="1" customWidth="1"/>
    <col min="4" max="4" width="13.5703125" bestFit="1" customWidth="1"/>
    <col min="6" max="6" width="13.5703125" bestFit="1" customWidth="1"/>
  </cols>
  <sheetData>
    <row r="1" spans="1:6" s="10" customFormat="1" ht="30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12</v>
      </c>
      <c r="F1" s="7" t="s">
        <v>26</v>
      </c>
    </row>
    <row r="2" spans="1:6" s="10" customFormat="1" x14ac:dyDescent="0.25">
      <c r="A2" s="16" t="s">
        <v>2</v>
      </c>
      <c r="B2" s="17"/>
      <c r="C2" s="17"/>
      <c r="D2" s="16">
        <v>2458400</v>
      </c>
      <c r="E2" s="16">
        <v>2458400</v>
      </c>
      <c r="F2" s="19">
        <v>2458400</v>
      </c>
    </row>
    <row r="3" spans="1:6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>
        <v>0.877</v>
      </c>
    </row>
    <row r="4" spans="1:6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4">
        <v>0.93100000000000005</v>
      </c>
    </row>
    <row r="5" spans="1:6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12">
        <f>F$3*F18*F$33</f>
        <v>2.0212340212017694</v>
      </c>
    </row>
    <row r="6" spans="1:6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</row>
    <row r="7" spans="1:6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12">
        <f>F14*F14+F15*F15</f>
        <v>0.269924</v>
      </c>
    </row>
    <row r="8" spans="1:6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</row>
    <row r="9" spans="1:6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>
        <v>41.8</v>
      </c>
    </row>
    <row r="10" spans="1:6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</row>
    <row r="11" spans="1:6" x14ac:dyDescent="0.25">
      <c r="A11" t="s">
        <v>7</v>
      </c>
      <c r="B11" t="s">
        <v>9</v>
      </c>
      <c r="C11" t="s">
        <v>22</v>
      </c>
      <c r="D11" s="13">
        <f>MOD(DEGREES(ATAN2(D17,D16)),360)</f>
        <v>276.76663869301791</v>
      </c>
      <c r="E11">
        <v>275.8</v>
      </c>
      <c r="F11" s="13">
        <f>MOD(DEGREES(ATAN2(F15,F14)),360)</f>
        <v>265.58437826536226</v>
      </c>
    </row>
    <row r="12" spans="1:6" x14ac:dyDescent="0.25">
      <c r="A12" s="4" t="s">
        <v>7</v>
      </c>
      <c r="B12" s="4" t="s">
        <v>3</v>
      </c>
      <c r="C12" s="4" t="s">
        <v>22</v>
      </c>
      <c r="D12" s="14">
        <f>MOD(DEGREES(((D$2-D13)/D9)*2*PI()),360)</f>
        <v>337.15902078899757</v>
      </c>
      <c r="E12" s="9">
        <f>-20.46+360</f>
        <v>339.54</v>
      </c>
      <c r="F12" s="14">
        <f>MOD(DEGREES(((F$2-F13)/F9)*2*PI()),360)</f>
        <v>173.11004784528578</v>
      </c>
    </row>
    <row r="13" spans="1:6" x14ac:dyDescent="0.25">
      <c r="A13" t="s">
        <v>7</v>
      </c>
      <c r="B13" t="s">
        <v>29</v>
      </c>
      <c r="C13" t="s">
        <v>0</v>
      </c>
      <c r="D13" s="2">
        <v>2458360.8689999999</v>
      </c>
      <c r="F13">
        <v>2458421.7000000002</v>
      </c>
    </row>
    <row r="14" spans="1:6" x14ac:dyDescent="0.25">
      <c r="A14" t="s">
        <v>7</v>
      </c>
      <c r="B14" t="s">
        <v>24</v>
      </c>
      <c r="F14">
        <v>-0.51800000000000002</v>
      </c>
    </row>
    <row r="15" spans="1:6" x14ac:dyDescent="0.25">
      <c r="A15" t="s">
        <v>7</v>
      </c>
      <c r="B15" t="s">
        <v>23</v>
      </c>
      <c r="F15">
        <v>-0.04</v>
      </c>
    </row>
    <row r="16" spans="1:6" x14ac:dyDescent="0.25">
      <c r="A16" t="s">
        <v>7</v>
      </c>
      <c r="B16" t="s">
        <v>27</v>
      </c>
      <c r="D16">
        <v>-0.24845565999999999</v>
      </c>
    </row>
    <row r="17" spans="1:6" x14ac:dyDescent="0.25">
      <c r="A17" t="s">
        <v>7</v>
      </c>
      <c r="B17" t="s">
        <v>28</v>
      </c>
      <c r="D17">
        <v>2.9479829999999999E-2</v>
      </c>
    </row>
    <row r="18" spans="1:6" ht="15.75" thickBot="1" x14ac:dyDescent="0.3">
      <c r="A18" s="5" t="s">
        <v>7</v>
      </c>
      <c r="B18" s="5" t="s">
        <v>25</v>
      </c>
      <c r="C18" s="5"/>
      <c r="D18" s="15">
        <f>D5/D$3/D$33</f>
        <v>2.3202949407401465E-3</v>
      </c>
      <c r="E18" s="15">
        <f>E5/E$3/E$33</f>
        <v>2.2950555852114564E-3</v>
      </c>
      <c r="F18" s="15">
        <v>2.2000000000000001E-3</v>
      </c>
    </row>
    <row r="19" spans="1:6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12">
        <f>F$3*F32*F$33</f>
        <v>2.5908545180859042</v>
      </c>
    </row>
    <row r="20" spans="1:6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</row>
    <row r="21" spans="1:6" x14ac:dyDescent="0.25">
      <c r="A21" t="s">
        <v>10</v>
      </c>
      <c r="B21" t="s">
        <v>5</v>
      </c>
      <c r="D21" s="12">
        <f>SQRT(D30*D30+D31*D31)</f>
        <v>3.5024375561053193E-2</v>
      </c>
      <c r="E21">
        <v>3.7699999999999997E-2</v>
      </c>
      <c r="F21" s="12">
        <f>F28*F28+F29*F29</f>
        <v>3.8800000000000001E-2</v>
      </c>
    </row>
    <row r="22" spans="1:6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</row>
    <row r="23" spans="1:6" x14ac:dyDescent="0.25">
      <c r="A23" t="s">
        <v>10</v>
      </c>
      <c r="B23" t="s">
        <v>1</v>
      </c>
      <c r="C23" t="s">
        <v>0</v>
      </c>
      <c r="D23">
        <v>81.820097000000004</v>
      </c>
      <c r="E23" s="6">
        <v>81.463099999999997</v>
      </c>
      <c r="F23">
        <v>81.81</v>
      </c>
    </row>
    <row r="24" spans="1:6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</row>
    <row r="25" spans="1:6" x14ac:dyDescent="0.25">
      <c r="A25" t="s">
        <v>10</v>
      </c>
      <c r="B25" t="s">
        <v>9</v>
      </c>
      <c r="C25" t="s">
        <v>22</v>
      </c>
      <c r="D25" s="13">
        <f>MOD(DEGREES(ATAN2(D31,D30)),360)</f>
        <v>303.62478284868769</v>
      </c>
      <c r="E25" s="1">
        <v>298.89</v>
      </c>
      <c r="F25" s="13">
        <f>MOD(DEGREES(ATAN2(F29,F28)),360)</f>
        <v>293.96248897457815</v>
      </c>
    </row>
    <row r="26" spans="1:6" x14ac:dyDescent="0.25">
      <c r="A26" s="4" t="s">
        <v>10</v>
      </c>
      <c r="B26" s="4" t="s">
        <v>3</v>
      </c>
      <c r="C26" s="4" t="s">
        <v>22</v>
      </c>
      <c r="D26" s="14">
        <f>MOD(DEGREES(((D$2-D27)/D23)*2*PI()),360)</f>
        <v>137.89365221593033</v>
      </c>
      <c r="E26" s="9">
        <v>142.72</v>
      </c>
      <c r="F26" s="14">
        <f>MOD(DEGREES(((F$2-F27)/F23)*2*PI()),360)</f>
        <v>353.84598459790249</v>
      </c>
    </row>
    <row r="27" spans="1:6" x14ac:dyDescent="0.25">
      <c r="A27" t="s">
        <v>10</v>
      </c>
      <c r="B27" t="s">
        <v>29</v>
      </c>
      <c r="C27" t="s">
        <v>0</v>
      </c>
      <c r="D27" s="8">
        <v>2458368.6598</v>
      </c>
      <c r="F27" s="8">
        <v>2458401.3985000001</v>
      </c>
    </row>
    <row r="28" spans="1:6" x14ac:dyDescent="0.25">
      <c r="A28" t="s">
        <v>10</v>
      </c>
      <c r="B28" t="s">
        <v>24</v>
      </c>
      <c r="F28">
        <v>-0.18</v>
      </c>
    </row>
    <row r="29" spans="1:6" x14ac:dyDescent="0.25">
      <c r="A29" t="s">
        <v>10</v>
      </c>
      <c r="B29" t="s">
        <v>23</v>
      </c>
      <c r="F29">
        <v>0.08</v>
      </c>
    </row>
    <row r="30" spans="1:6" x14ac:dyDescent="0.25">
      <c r="A30" t="s">
        <v>10</v>
      </c>
      <c r="B30" t="s">
        <v>27</v>
      </c>
      <c r="D30">
        <v>-2.9164160000000001E-2</v>
      </c>
      <c r="E30">
        <v>-2.9159999999999998E-2</v>
      </c>
    </row>
    <row r="31" spans="1:6" x14ac:dyDescent="0.25">
      <c r="A31" t="s">
        <v>10</v>
      </c>
      <c r="B31" t="s">
        <v>28</v>
      </c>
      <c r="D31">
        <v>1.9394809999999998E-2</v>
      </c>
      <c r="E31">
        <v>1.9390000000000001E-2</v>
      </c>
    </row>
    <row r="32" spans="1:6" x14ac:dyDescent="0.25">
      <c r="A32" s="4" t="s">
        <v>10</v>
      </c>
      <c r="B32" s="4" t="s">
        <v>25</v>
      </c>
      <c r="C32" s="4"/>
      <c r="D32" s="18">
        <f>D19/D$3/D$33</f>
        <v>2.8458883405510739E-3</v>
      </c>
      <c r="E32" s="18">
        <f>E19/E$3/E$33</f>
        <v>2.8383488920405799E-3</v>
      </c>
      <c r="F32" s="4">
        <v>2.82E-3</v>
      </c>
    </row>
    <row r="33" spans="1:6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>
        <v>1047.5971914594015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2026-03-22T19:34:53Z</dcterms:modified>
</cp:coreProperties>
</file>